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TenantName</t>
        </is>
      </c>
      <c r="B1" t="inlineStr">
        <is>
          <t>ApplicationDecommissionRequestId</t>
        </is>
      </c>
      <c r="C1" t="inlineStr">
        <is>
          <t>RecordType</t>
        </is>
      </c>
      <c r="D1" t="inlineStr">
        <is>
          <t>EntityName</t>
        </is>
      </c>
      <c r="E1" t="inlineStr">
        <is>
          <t>ExistsInPlatform</t>
        </is>
      </c>
      <c r="F1" t="inlineStr">
        <is>
          <t>DecommissionRequestStatus</t>
        </is>
      </c>
      <c r="G1" t="inlineStr">
        <is>
          <t>Stage1ScheduledDate</t>
        </is>
      </c>
      <c r="H1" t="inlineStr">
        <is>
          <t>Stage2ScheduledDate</t>
        </is>
      </c>
      <c r="I1" t="inlineStr">
        <is>
          <t>Stage1Status</t>
        </is>
      </c>
      <c r="J1" t="inlineStr">
        <is>
          <t>Stage2Status</t>
        </is>
      </c>
    </row>
    <row r="2">
      <c r="A2" t="inlineStr">
        <is>
          <t>AppA</t>
        </is>
      </c>
      <c r="B2" t="inlineStr">
        <is>
          <t>REQ-001</t>
        </is>
      </c>
      <c r="C2" t="inlineStr">
        <is>
          <t>Database</t>
        </is>
      </c>
      <c r="D2" t="inlineStr">
        <is>
          <t>DB-AppA-01</t>
        </is>
      </c>
      <c r="E2" t="inlineStr">
        <is>
          <t>Yes</t>
        </is>
      </c>
      <c r="F2" t="inlineStr">
        <is>
          <t>stage1</t>
        </is>
      </c>
      <c r="G2" t="inlineStr">
        <is>
          <t>2025-12-01</t>
        </is>
      </c>
      <c r="H2" t="inlineStr">
        <is>
          <t>2025-12-10</t>
        </is>
      </c>
      <c r="I2" t="inlineStr">
        <is>
          <t>completed</t>
        </is>
      </c>
      <c r="J2" t="inlineStr">
        <is>
          <t>scheduled</t>
        </is>
      </c>
    </row>
    <row r="3">
      <c r="A3" t="inlineStr">
        <is>
          <t>AppA</t>
        </is>
      </c>
      <c r="B3" t="inlineStr">
        <is>
          <t>REQ-001</t>
        </is>
      </c>
      <c r="C3" t="inlineStr">
        <is>
          <t>VM</t>
        </is>
      </c>
      <c r="D3" t="inlineStr">
        <is>
          <t>VM-AppA-01</t>
        </is>
      </c>
      <c r="E3" t="inlineStr">
        <is>
          <t>Yes</t>
        </is>
      </c>
      <c r="F3" t="inlineStr">
        <is>
          <t>stage1</t>
        </is>
      </c>
      <c r="G3" t="inlineStr">
        <is>
          <t>2025-12-01</t>
        </is>
      </c>
      <c r="H3" t="inlineStr">
        <is>
          <t>2025-12-10</t>
        </is>
      </c>
      <c r="I3" t="inlineStr">
        <is>
          <t>scheduled</t>
        </is>
      </c>
      <c r="J3" t="inlineStr">
        <is>
          <t>scheduled</t>
        </is>
      </c>
    </row>
    <row r="4">
      <c r="A4" t="inlineStr">
        <is>
          <t>AppB</t>
        </is>
      </c>
      <c r="B4" t="inlineStr">
        <is>
          <t>REQ-002</t>
        </is>
      </c>
      <c r="C4" t="inlineStr">
        <is>
          <t>Storage</t>
        </is>
      </c>
      <c r="D4" t="inlineStr">
        <is>
          <t>ST-AppB-01</t>
        </is>
      </c>
      <c r="E4" t="inlineStr">
        <is>
          <t>Yes</t>
        </is>
      </c>
      <c r="F4" t="inlineStr">
        <is>
          <t>stage2</t>
        </is>
      </c>
      <c r="G4" t="inlineStr">
        <is>
          <t>2025-11-20</t>
        </is>
      </c>
      <c r="H4" t="inlineStr">
        <is>
          <t>2025-11-25</t>
        </is>
      </c>
      <c r="I4" t="inlineStr">
        <is>
          <t>completed</t>
        </is>
      </c>
      <c r="J4" t="inlineStr">
        <is>
          <t>failed</t>
        </is>
      </c>
    </row>
    <row r="5">
      <c r="A5" t="inlineStr">
        <is>
          <t>AppB</t>
        </is>
      </c>
      <c r="B5" t="inlineStr">
        <is>
          <t>REQ-002</t>
        </is>
      </c>
      <c r="C5" t="inlineStr">
        <is>
          <t>Database</t>
        </is>
      </c>
      <c r="D5" t="inlineStr">
        <is>
          <t>DB-AppB-01</t>
        </is>
      </c>
      <c r="E5" t="inlineStr">
        <is>
          <t>Yes</t>
        </is>
      </c>
      <c r="F5" t="inlineStr">
        <is>
          <t>stage2</t>
        </is>
      </c>
      <c r="G5" t="inlineStr">
        <is>
          <t>2025-11-20</t>
        </is>
      </c>
      <c r="H5" t="inlineStr">
        <is>
          <t>2025-11-25</t>
        </is>
      </c>
      <c r="I5" t="inlineStr">
        <is>
          <t>completed</t>
        </is>
      </c>
      <c r="J5" t="inlineStr">
        <is>
          <t>completed</t>
        </is>
      </c>
    </row>
    <row r="6">
      <c r="A6" t="inlineStr">
        <is>
          <t>AppC</t>
        </is>
      </c>
      <c r="B6" t="inlineStr">
        <is>
          <t>REQ-003</t>
        </is>
      </c>
      <c r="C6" t="inlineStr">
        <is>
          <t>VM</t>
        </is>
      </c>
      <c r="D6" t="inlineStr">
        <is>
          <t>VM-AppC-01</t>
        </is>
      </c>
      <c r="E6" t="inlineStr">
        <is>
          <t>No</t>
        </is>
      </c>
      <c r="F6" t="inlineStr">
        <is>
          <t>completed</t>
        </is>
      </c>
      <c r="G6" t="inlineStr">
        <is>
          <t>2025-11-15</t>
        </is>
      </c>
      <c r="H6" t="inlineStr">
        <is>
          <t>2025-11-18</t>
        </is>
      </c>
      <c r="I6" t="inlineStr">
        <is>
          <t>completed</t>
        </is>
      </c>
      <c r="J6" t="inlineStr">
        <is>
          <t>completed</t>
        </is>
      </c>
    </row>
    <row r="7">
      <c r="A7" t="inlineStr">
        <is>
          <t>AppC</t>
        </is>
      </c>
      <c r="B7" t="inlineStr">
        <is>
          <t>REQ-003</t>
        </is>
      </c>
      <c r="C7" t="inlineStr">
        <is>
          <t>Storage</t>
        </is>
      </c>
      <c r="D7" t="inlineStr">
        <is>
          <t>ST-AppC-01</t>
        </is>
      </c>
      <c r="E7" t="inlineStr">
        <is>
          <t>No</t>
        </is>
      </c>
      <c r="F7" t="inlineStr">
        <is>
          <t>completed</t>
        </is>
      </c>
      <c r="G7" t="inlineStr">
        <is>
          <t>2025-11-15</t>
        </is>
      </c>
      <c r="H7" t="inlineStr">
        <is>
          <t>2025-11-18</t>
        </is>
      </c>
      <c r="I7" t="inlineStr">
        <is>
          <t>completed</t>
        </is>
      </c>
      <c r="J7" t="inlineStr">
        <is>
          <t>completed</t>
        </is>
      </c>
    </row>
    <row r="8">
      <c r="A8" t="inlineStr">
        <is>
          <t>AppD</t>
        </is>
      </c>
      <c r="B8" t="inlineStr">
        <is>
          <t>REQ-004</t>
        </is>
      </c>
      <c r="C8" t="inlineStr">
        <is>
          <t>Database</t>
        </is>
      </c>
      <c r="D8" t="inlineStr">
        <is>
          <t>DB-AppD-01</t>
        </is>
      </c>
      <c r="E8" t="inlineStr">
        <is>
          <t>Yes</t>
        </is>
      </c>
      <c r="F8" t="inlineStr">
        <is>
          <t>stage1</t>
        </is>
      </c>
      <c r="G8" t="inlineStr">
        <is>
          <t>2025-12-05</t>
        </is>
      </c>
      <c r="H8" t="inlineStr">
        <is>
          <t>2025-12-20</t>
        </is>
      </c>
      <c r="I8" t="inlineStr">
        <is>
          <t>scheduled</t>
        </is>
      </c>
      <c r="J8" t="inlineStr">
        <is>
          <t>scheduled</t>
        </is>
      </c>
    </row>
    <row r="9">
      <c r="A9" t="inlineStr">
        <is>
          <t>AppE</t>
        </is>
      </c>
      <c r="B9" t="inlineStr">
        <is>
          <t>REQ-005</t>
        </is>
      </c>
      <c r="C9" t="inlineStr">
        <is>
          <t>VM</t>
        </is>
      </c>
      <c r="D9" t="inlineStr">
        <is>
          <t>VM-AppE-01</t>
        </is>
      </c>
      <c r="E9" t="inlineStr">
        <is>
          <t>Yes</t>
        </is>
      </c>
      <c r="F9" t="inlineStr">
        <is>
          <t>stage2</t>
        </is>
      </c>
      <c r="G9" t="inlineStr">
        <is>
          <t>2025-11-01</t>
        </is>
      </c>
      <c r="H9" t="inlineStr">
        <is>
          <t>2025-11-10</t>
        </is>
      </c>
      <c r="I9" t="inlineStr">
        <is>
          <t>completed</t>
        </is>
      </c>
      <c r="J9" t="inlineStr">
        <is>
          <t>scheduled</t>
        </is>
      </c>
    </row>
    <row r="10">
      <c r="A10" t="inlineStr">
        <is>
          <t>AppE</t>
        </is>
      </c>
      <c r="B10" t="inlineStr">
        <is>
          <t>REQ-005</t>
        </is>
      </c>
      <c r="C10" t="inlineStr">
        <is>
          <t>Queue</t>
        </is>
      </c>
      <c r="D10" t="inlineStr">
        <is>
          <t>Q-AppE-01</t>
        </is>
      </c>
      <c r="E10" t="inlineStr">
        <is>
          <t>Yes</t>
        </is>
      </c>
      <c r="F10" t="inlineStr">
        <is>
          <t>stage2</t>
        </is>
      </c>
      <c r="G10" t="inlineStr">
        <is>
          <t>2025-11-01</t>
        </is>
      </c>
      <c r="H10" t="inlineStr">
        <is>
          <t>2025-11-10</t>
        </is>
      </c>
      <c r="I10" t="inlineStr">
        <is>
          <t>completed</t>
        </is>
      </c>
      <c r="J10" t="inlineStr">
        <is>
          <t>scheduled</t>
        </is>
      </c>
    </row>
    <row r="11">
      <c r="A11" t="inlineStr">
        <is>
          <t>AppF</t>
        </is>
      </c>
      <c r="B11" t="inlineStr">
        <is>
          <t>REQ-006</t>
        </is>
      </c>
      <c r="C11" t="inlineStr">
        <is>
          <t>Database</t>
        </is>
      </c>
      <c r="D11" t="inlineStr">
        <is>
          <t>DB-AppF-01</t>
        </is>
      </c>
      <c r="E11" t="inlineStr">
        <is>
          <t>Yes</t>
        </is>
      </c>
      <c r="F11" t="inlineStr">
        <is>
          <t>canceled</t>
        </is>
      </c>
      <c r="G11" t="inlineStr">
        <is>
          <t>2025-10-01</t>
        </is>
      </c>
      <c r="H11" t="inlineStr">
        <is>
          <t>2025-10-05</t>
        </is>
      </c>
      <c r="I11" t="inlineStr">
        <is>
          <t>failed</t>
        </is>
      </c>
      <c r="J11" t="inlineStr">
        <is>
          <t>scheduled</t>
        </is>
      </c>
    </row>
    <row r="12">
      <c r="A12" t="inlineStr">
        <is>
          <t>AppG</t>
        </is>
      </c>
      <c r="B12" t="inlineStr">
        <is>
          <t>REQ-007</t>
        </is>
      </c>
      <c r="C12" t="inlineStr">
        <is>
          <t>Storage</t>
        </is>
      </c>
      <c r="D12" t="inlineStr">
        <is>
          <t>ST-AppG-01</t>
        </is>
      </c>
      <c r="E12" t="inlineStr">
        <is>
          <t>Yes</t>
        </is>
      </c>
      <c r="F12" t="inlineStr">
        <is>
          <t>stage1</t>
        </is>
      </c>
      <c r="G12" t="inlineStr">
        <is>
          <t>2025-12-03</t>
        </is>
      </c>
      <c r="H12" t="inlineStr">
        <is>
          <t>2025-12-15</t>
        </is>
      </c>
      <c r="I12" t="inlineStr">
        <is>
          <t>failed</t>
        </is>
      </c>
      <c r="J12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ApplicationDecommissionRequestId</t>
        </is>
      </c>
      <c r="B1" t="inlineStr">
        <is>
          <t>TenantName</t>
        </is>
      </c>
      <c r="C1" t="inlineStr">
        <is>
          <t>RequestStatus</t>
        </is>
      </c>
      <c r="D1" t="inlineStr">
        <is>
          <t>Stage1MinDate</t>
        </is>
      </c>
      <c r="E1" t="inlineStr">
        <is>
          <t>Stage2MinDate</t>
        </is>
      </c>
    </row>
    <row r="2">
      <c r="A2">
        <f>UNIQUE(FILTER(Data!B2:B1000,Data!B2:B1000&lt;&gt;""))</f>
        <v/>
      </c>
      <c r="B2">
        <f>LET(ids,A2#,BYROW(ids,LAMBDA(r,IF(r="","",INDEX(Data!A:A,MATCH(r,Data!B:B,0))))))</f>
        <v/>
      </c>
      <c r="C2">
        <f>LET(ids,A2#,BYROW(ids,LAMBDA(r,IF(r="","",INDEX(Data!F:F,MATCH(r,Data!B:B,0))))))</f>
        <v/>
      </c>
      <c r="D2">
        <f>LET(ids,A2#,BYROW(ids,LAMBDA(r,IF(r="","",MIN(FILTER(Data!G:G,Data!B:B=r))))))</f>
        <v/>
      </c>
      <c r="E2">
        <f>LET(ids,A2#,BYROW(ids,LAMBDA(r,IF(r="","",MIN(FILTER(Data!H:H,Data!B:B=r))))))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t="inlineStr">
        <is>
          <t>Decommission Requests Summary</t>
        </is>
      </c>
      <c r="D1" t="inlineStr">
        <is>
          <t>Overdue Requests</t>
        </is>
      </c>
    </row>
    <row r="3">
      <c r="A3" t="inlineStr">
        <is>
          <t>Status</t>
        </is>
      </c>
      <c r="B3" t="inlineStr">
        <is>
          <t>Count</t>
        </is>
      </c>
      <c r="D3" t="inlineStr">
        <is>
          <t>Metric</t>
        </is>
      </c>
      <c r="E3" t="inlineStr">
        <is>
          <t>Count</t>
        </is>
      </c>
    </row>
    <row r="4">
      <c r="A4" t="inlineStr">
        <is>
          <t>Completed</t>
        </is>
      </c>
      <c r="B4">
        <f>COUNTIF(Requests!C2:C1000,"completed")</f>
        <v/>
      </c>
      <c r="D4" t="inlineStr">
        <is>
          <t>Past Stage1 date, still in Stage1</t>
        </is>
      </c>
      <c r="E4">
        <f>COUNTIFS(Requests!C2:C1000,"stage1",Requests!D2:D1000,"&lt;"&amp;TODAY())</f>
        <v/>
      </c>
    </row>
    <row r="5">
      <c r="A5" t="inlineStr">
        <is>
          <t>Canceled</t>
        </is>
      </c>
      <c r="B5">
        <f>COUNTIF(Requests!C2:C1000,"canceled")</f>
        <v/>
      </c>
      <c r="D5" t="inlineStr">
        <is>
          <t>Past Stage2 date, still in Stage1 or Stage2</t>
        </is>
      </c>
      <c r="E5">
        <f>COUNTIFS(Requests!C2:C1000,"stage1",Requests!E2:E1000,"&lt;"&amp;TODAY())+COUNTIFS(Requests!C2:C1000,"stage2",Requests!E2:E1000,"&lt;"&amp;TODAY())</f>
        <v/>
      </c>
    </row>
    <row r="6">
      <c r="A6" t="inlineStr">
        <is>
          <t>Stage1</t>
        </is>
      </c>
      <c r="B6">
        <f>COUNTIF(Requests!C2:C1000,"stage1")</f>
        <v/>
      </c>
    </row>
    <row r="7">
      <c r="A7" t="inlineStr">
        <is>
          <t>Stage2</t>
        </is>
      </c>
      <c r="B7">
        <f>COUNTIF(Requests!C2:C1000,"stage2")</f>
        <v/>
      </c>
    </row>
    <row r="10">
      <c r="A10" t="inlineStr">
        <is>
          <t>Stage1 Pending by RecordType</t>
        </is>
      </c>
      <c r="E10" t="inlineStr">
        <is>
          <t>Stage2 Pending by RecordType</t>
        </is>
      </c>
    </row>
    <row r="12">
      <c r="A12" t="inlineStr">
        <is>
          <t>RecordType</t>
        </is>
      </c>
      <c r="B12" t="inlineStr">
        <is>
          <t>Stage1 Pending Components</t>
        </is>
      </c>
      <c r="C12" t="inlineStr">
        <is>
          <t>Stage1 Pending Requests</t>
        </is>
      </c>
      <c r="E12" t="inlineStr">
        <is>
          <t>RecordType</t>
        </is>
      </c>
      <c r="F12" t="inlineStr">
        <is>
          <t>Stage2 Pending Components</t>
        </is>
      </c>
      <c r="G12" t="inlineStr">
        <is>
          <t>Stage2 Pending Requests</t>
        </is>
      </c>
    </row>
    <row r="13">
      <c r="A13">
        <f>UNIQUE(FILTER(Data!C2:C1000,Data!C2:C1000&lt;&gt;""))</f>
        <v/>
      </c>
      <c r="B13">
        <f>LET(types,A13#,BYROW(types,LAMBDA(t,IF(t="","",COUNTIFS(Data!C:C,t,Data!I:I,"&lt;&gt;completed")))))</f>
        <v/>
      </c>
      <c r="C13">
        <f>LET(types,A13#,BYROW(types,LAMBDA(t,IF(t="","",LET(ids,FILTER(Data!B:B,(Data!C:C=t)*(Data!I:I&lt;&gt;"completed")),IF(ROWS(ids)=0,0,ROWS(UNIQUE(ids))))))))</f>
        <v/>
      </c>
      <c r="E13">
        <f>UNIQUE(FILTER(Data!C2:C1000,Data!C2:C1000&lt;&gt;""))</f>
        <v/>
      </c>
      <c r="F13">
        <f>LET(types,E13#,BYROW(types,LAMBDA(t,IF(t="","",COUNTIFS(Data!C:C,t,Data!J:J,"&lt;&gt;completed")))))</f>
        <v/>
      </c>
      <c r="G13">
        <f>LET(types,E13#,BYROW(types,LAMBDA(t,IF(t="","",LET(ids,FILTER(Data!B:B,(Data!C:C=t)*(Data!J:J&lt;&gt;"completed")),IF(ROWS(ids)=0,0,ROWS(UNIQUE(ids))))))))</f>
        <v/>
      </c>
    </row>
  </sheetData>
  <mergeCells count="4">
    <mergeCell ref="A1:B1"/>
    <mergeCell ref="D1:E1"/>
    <mergeCell ref="A10:C10"/>
    <mergeCell ref="E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2025-12-10T17:04:55Z</dcterms:created>
  <dcterms:modified xmlns:dcterms="http://purl.org/dc/terms/" xmlns:xsi="http://www.w3.org/2001/XMLSchema-instance" xsi:type="dcterms:W3CDTF">2025-12-10T17:04:55Z</dcterms:modified>
</cp:coreProperties>
</file>